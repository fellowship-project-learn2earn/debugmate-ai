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 Cases" sheetId="2" state="visible" r:id="rId4"/>
    <sheet name="Evaluation Rubric" sheetId="3" state="visible" r:id="rId5"/>
    <sheet name="RAG Comparison" sheetId="4" state="visible" r:id="rId6"/>
    <sheet name="Summary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<sst xmlns="http://schemas.openxmlformats.org/spreadsheetml/2006/main" count="226" uniqueCount="187">
  <si>
    <t xml:space="preserve">DebugMate AI — RAG &amp; QA Evaluation Workbook</t>
  </si>
  <si>
    <t xml:space="preserve">Member 4 deliverable: RAG knowledge base evaluation + AI response quality evaluation</t>
  </si>
  <si>
    <t xml:space="preserve">HOW TO USE THIS WORKBOOK</t>
  </si>
  <si>
    <t xml:space="preserve">1. Test Cases sheet — log realistic (language, code, error) inputs, one per row. Aim for 20-40</t>
  </si>
  <si>
    <t xml:space="preserve">   covering the common error types in the knowledge base. Yellow cells are for you to fill in.</t>
  </si>
  <si>
    <t xml:space="preserve">2. Evaluation Rubric sheet — for each test case, score the AI's actual response against the 7</t>
  </si>
  <si>
    <t xml:space="preserve">   criteria from the project proposal (Section 17): Correctness, Relevance, Clarity, Actionability,</t>
  </si>
  <si>
    <t xml:space="preserve">   Educational Value, Consistency, Safety. Each is scored 1-5. The Overall Score is calculated</t>
  </si>
  <si>
    <t xml:space="preserve">   automatically as the average of the 7 criteria.</t>
  </si>
  <si>
    <t xml:space="preserve">3. RAG Comparison sheet — for a subset of test cases, run the AI both WITH and WITHOUT retrieved</t>
  </si>
  <si>
    <t xml:space="preserve">   knowledge-base context, and compare Overall Scores side by side. This is the evidence for</t>
  </si>
  <si>
    <t xml:space="preserve">   whether RAG measurably improves answer quality (a key AI-engineering deliverable).</t>
  </si>
  <si>
    <t xml:space="preserve">4. Summary Dashboard sheet — automatically aggregates average scores per criterion and flags</t>
  </si>
  <si>
    <t xml:space="preserve">   any test case scoring below a quality threshold, so weak spots are easy to spot before demo day.</t>
  </si>
  <si>
    <t xml:space="preserve">SCORING GUIDE (apply consistently across all evaluators)</t>
  </si>
  <si>
    <t xml:space="preserve">  5 = Excellent — meets the bar fully, nothing beginner-facing to improve</t>
  </si>
  <si>
    <t xml:space="preserve">  4 = Good — minor polish needed, no factual or safety issues</t>
  </si>
  <si>
    <t xml:space="preserve">  3 = Acceptable — usable but noticeably weak in this dimension</t>
  </si>
  <si>
    <t xml:space="preserve">  2 = Poor — a beginner would likely be confused or misled</t>
  </si>
  <si>
    <t xml:space="preserve">  1 = Failing — factually wrong, unsafe, or unusable</t>
  </si>
  <si>
    <t xml:space="preserve">Only edit yellow cells. Everything else (scores, averages, flags) calculates automatically.</t>
  </si>
  <si>
    <t xml:space="preserve">Test Case ID</t>
  </si>
  <si>
    <t xml:space="preserve">Error Type</t>
  </si>
  <si>
    <t xml:space="preserve">Language</t>
  </si>
  <si>
    <t xml:space="preserve">Code Snippet</t>
  </si>
  <si>
    <t xml:space="preserve">Error Message</t>
  </si>
  <si>
    <t xml:space="preserve">Intended Behavior (optional)</t>
  </si>
  <si>
    <t xml:space="preserve">Expected Root Cause</t>
  </si>
  <si>
    <t xml:space="preserve">Notes</t>
  </si>
  <si>
    <t xml:space="preserve">TC-001</t>
  </si>
  <si>
    <t xml:space="preserve">NameError</t>
  </si>
  <si>
    <t xml:space="preserve">python</t>
  </si>
  <si>
    <t xml:space="preserve">print(username)</t>
  </si>
  <si>
    <t xml:space="preserve">NameError: name 'username' is not defined</t>
  </si>
  <si>
    <t xml:space="preserve">Print the user's name</t>
  </si>
  <si>
    <t xml:space="preserve">Variable used before it was defined</t>
  </si>
  <si>
    <t xml:space="preserve">From proposal example</t>
  </si>
  <si>
    <t xml:space="preserve">TC-002</t>
  </si>
  <si>
    <t xml:space="preserve">TypeError</t>
  </si>
  <si>
    <t xml:space="preserve">total = "Items: " + 5</t>
  </si>
  <si>
    <t xml:space="preserve">TypeError: can only concatenate str (not "int") to str</t>
  </si>
  <si>
    <t xml:space="preserve">Show item count in a message</t>
  </si>
  <si>
    <t xml:space="preserve">String and int concatenated without conversion</t>
  </si>
  <si>
    <t xml:space="preserve">TC-003</t>
  </si>
  <si>
    <t xml:space="preserve">IndexError</t>
  </si>
  <si>
    <t xml:space="preserve">for i in range(len(items)+1): print(items[i])</t>
  </si>
  <si>
    <t xml:space="preserve">IndexError: list index out of range</t>
  </si>
  <si>
    <t xml:space="preserve">Print every item in the list</t>
  </si>
  <si>
    <t xml:space="preserve">Off-by-one in range()</t>
  </si>
  <si>
    <t xml:space="preserve">TC-004</t>
  </si>
  <si>
    <t xml:space="preserve">age = 25
msg = "Age: " + age</t>
  </si>
  <si>
    <t xml:space="preserve">Print a message showing the user's age</t>
  </si>
  <si>
    <t xml:space="preserve">String and int concatenated without str()</t>
  </si>
  <si>
    <t xml:space="preserve">TC-005</t>
  </si>
  <si>
    <t xml:space="preserve">total = None
result = total + 5</t>
  </si>
  <si>
    <t xml:space="preserve">TypeError: unsupported operand type(s) for +: 'NoneType' and 'int'</t>
  </si>
  <si>
    <t xml:space="preserve">Add 5 to a running total</t>
  </si>
  <si>
    <t xml:space="preserve">Variable holds None instead of a number</t>
  </si>
  <si>
    <t xml:space="preserve">TC-006</t>
  </si>
  <si>
    <t xml:space="preserve">KeyError</t>
  </si>
  <si>
    <t xml:space="preserve">user = {"name": "Sam"}
print(user["email"])</t>
  </si>
  <si>
    <t xml:space="preserve">KeyError: 'email'</t>
  </si>
  <si>
    <t xml:space="preserve">Print the user's email</t>
  </si>
  <si>
    <t xml:space="preserve">Key was never added to the dictionary</t>
  </si>
  <si>
    <t xml:space="preserve">TC-007</t>
  </si>
  <si>
    <t xml:space="preserve">data = {"Name": "Sam"}
print(data["name"])</t>
  </si>
  <si>
    <t xml:space="preserve">KeyError: 'name'</t>
  </si>
  <si>
    <t xml:space="preserve">Access the name field</t>
  </si>
  <si>
    <t xml:space="preserve">Case mismatch between key used and key stored</t>
  </si>
  <si>
    <t xml:space="preserve">TC-008</t>
  </si>
  <si>
    <t xml:space="preserve">AttributeError</t>
  </si>
  <si>
    <t xml:space="preserve">def get_user():
    pass
u = get_user()
u.append("x")</t>
  </si>
  <si>
    <t xml:space="preserve">AttributeError: 'NoneType' object has no attribute 'append'</t>
  </si>
  <si>
    <t xml:space="preserve">Get a user object and add to it</t>
  </si>
  <si>
    <t xml:space="preserve">Function returns None implicitly, then .append() called on it</t>
  </si>
  <si>
    <t xml:space="preserve">TC-009</t>
  </si>
  <si>
    <t xml:space="preserve">name = "sam"
name.push("x")</t>
  </si>
  <si>
    <t xml:space="preserve">AttributeError: 'str' object has no attribute 'push'</t>
  </si>
  <si>
    <t xml:space="preserve">Modify a string</t>
  </si>
  <si>
    <t xml:space="preserve">Wrong method name; strings don't have .push()</t>
  </si>
  <si>
    <t xml:space="preserve">TC-010</t>
  </si>
  <si>
    <t xml:space="preserve">ModuleNotFoundError</t>
  </si>
  <si>
    <t xml:space="preserve">import requests
requests.get('https://example.com')</t>
  </si>
  <si>
    <t xml:space="preserve">ModuleNotFoundError: No module named 'requests'</t>
  </si>
  <si>
    <t xml:space="preserve">Fetch data from a URL</t>
  </si>
  <si>
    <t xml:space="preserve">Package not installed in current environment</t>
  </si>
  <si>
    <t xml:space="preserve">TC-011</t>
  </si>
  <si>
    <t xml:space="preserve">from utils import helper</t>
  </si>
  <si>
    <t xml:space="preserve">ModuleNotFoundError: No module named 'utils'</t>
  </si>
  <si>
    <t xml:space="preserve">Import a local helper module</t>
  </si>
  <si>
    <t xml:space="preserve">Local file not in expected directory/path</t>
  </si>
  <si>
    <t xml:space="preserve">TC-012</t>
  </si>
  <si>
    <t xml:space="preserve">IndentationError</t>
  </si>
  <si>
    <t xml:space="preserve">if True:
print('yes')</t>
  </si>
  <si>
    <t xml:space="preserve">IndentationError: expected an indented block after 'if' statement</t>
  </si>
  <si>
    <t xml:space="preserve">Print yes when condition is true</t>
  </si>
  <si>
    <t xml:space="preserve">Block body not indented under if</t>
  </si>
  <si>
    <t xml:space="preserve">TC-013</t>
  </si>
  <si>
    <t xml:space="preserve">def greet():
	print('hi')
        print('bye')</t>
  </si>
  <si>
    <t xml:space="preserve">IndentationError: inconsistent use of tabs and spaces</t>
  </si>
  <si>
    <t xml:space="preserve">Print two greetings</t>
  </si>
  <si>
    <t xml:space="preserve">Mixed tabs and spaces in the same block</t>
  </si>
  <si>
    <t xml:space="preserve">TC-014</t>
  </si>
  <si>
    <t xml:space="preserve">ValueError</t>
  </si>
  <si>
    <t xml:space="preserve">age = int(input('Age: '))</t>
  </si>
  <si>
    <t xml:space="preserve">ValueError: invalid literal for int() with base 10: 'abc'</t>
  </si>
  <si>
    <t xml:space="preserve">Convert user input to a number</t>
  </si>
  <si>
    <t xml:space="preserve">Non-numeric input passed to int() without validation</t>
  </si>
  <si>
    <t xml:space="preserve">TC-015</t>
  </si>
  <si>
    <t xml:space="preserve">price = float('twenty')</t>
  </si>
  <si>
    <t xml:space="preserve">ValueError: could not convert string to float: 'twenty'</t>
  </si>
  <si>
    <t xml:space="preserve">Convert a price string to a float</t>
  </si>
  <si>
    <t xml:space="preserve">Word passed where a numeric string was expected</t>
  </si>
  <si>
    <t xml:space="preserve">TC-016</t>
  </si>
  <si>
    <t xml:space="preserve">ZeroDivisionError</t>
  </si>
  <si>
    <t xml:space="preserve">scores = []
avg = sum(scores) / len(scores)</t>
  </si>
  <si>
    <t xml:space="preserve">ZeroDivisionError: division by zero</t>
  </si>
  <si>
    <t xml:space="preserve">Compute the average of a list of scores</t>
  </si>
  <si>
    <t xml:space="preserve">Empty list makes len(scores) == 0</t>
  </si>
  <si>
    <t xml:space="preserve">TC-017</t>
  </si>
  <si>
    <t xml:space="preserve">count = 0
rate = total / count</t>
  </si>
  <si>
    <t xml:space="preserve">Compute a rate from total and count</t>
  </si>
  <si>
    <t xml:space="preserve">Divisor variable is zero without a guard</t>
  </si>
  <si>
    <t xml:space="preserve">TC-018</t>
  </si>
  <si>
    <t xml:space="preserve">FileNotFoundError</t>
  </si>
  <si>
    <t xml:space="preserve">with open('data.csv') as f:
    data = f.read()</t>
  </si>
  <si>
    <t xml:space="preserve">FileNotFoundError: [Errno 2] No such file or directory: 'data.csv'</t>
  </si>
  <si>
    <t xml:space="preserve">Read a CSV file</t>
  </si>
  <si>
    <t xml:space="preserve">Relative path doesn't match actual working directory</t>
  </si>
  <si>
    <t xml:space="preserve">TC-019</t>
  </si>
  <si>
    <t xml:space="preserve">open('Config.txt')</t>
  </si>
  <si>
    <t xml:space="preserve">FileNotFoundError: [Errno 2] No such file or directory: 'Config.txt'</t>
  </si>
  <si>
    <t xml:space="preserve">Open a config file</t>
  </si>
  <si>
    <t xml:space="preserve">Case-sensitivity mismatch on filename</t>
  </si>
  <si>
    <t xml:space="preserve">TC-020</t>
  </si>
  <si>
    <t xml:space="preserve">SyntaxError</t>
  </si>
  <si>
    <t xml:space="preserve">if x == 5
    print('five')</t>
  </si>
  <si>
    <t xml:space="preserve">SyntaxError: expected ':'</t>
  </si>
  <si>
    <t xml:space="preserve">Check if x equals 5</t>
  </si>
  <si>
    <t xml:space="preserve">Missing colon after if condition</t>
  </si>
  <si>
    <t xml:space="preserve">TC-021</t>
  </si>
  <si>
    <t xml:space="preserve">items = [1, 2, 3</t>
  </si>
  <si>
    <t xml:space="preserve">SyntaxError: unexpected EOF while parsing</t>
  </si>
  <si>
    <t xml:space="preserve">Create a list of numbers</t>
  </si>
  <si>
    <t xml:space="preserve">Missing closing bracket</t>
  </si>
  <si>
    <t xml:space="preserve">TC-022</t>
  </si>
  <si>
    <t xml:space="preserve">RecursionError</t>
  </si>
  <si>
    <t xml:space="preserve">def factorial(n):
    return n * factorial(n - 1)</t>
  </si>
  <si>
    <t xml:space="preserve">RecursionError: maximum recursion depth exceeded</t>
  </si>
  <si>
    <t xml:space="preserve">Compute a factorial recursively</t>
  </si>
  <si>
    <t xml:space="preserve">Missing base case to stop recursion</t>
  </si>
  <si>
    <t xml:space="preserve">TC-023</t>
  </si>
  <si>
    <t xml:space="preserve">def countdown(n):
    print(n)
    countdown(n)</t>
  </si>
  <si>
    <t xml:space="preserve">Count down from a number</t>
  </si>
  <si>
    <t xml:space="preserve">Recursive call never decrements n</t>
  </si>
  <si>
    <t xml:space="preserve">Evaluator</t>
  </si>
  <si>
    <t xml:space="preserve">Date</t>
  </si>
  <si>
    <t xml:space="preserve">Correctness (1-5)</t>
  </si>
  <si>
    <t xml:space="preserve">Relevance (1-5)</t>
  </si>
  <si>
    <t xml:space="preserve">Clarity (1-5)</t>
  </si>
  <si>
    <t xml:space="preserve">Actionability (1-5)</t>
  </si>
  <si>
    <t xml:space="preserve">Educational Value (1-5)</t>
  </si>
  <si>
    <t xml:space="preserve">Consistency (1-5)</t>
  </si>
  <si>
    <t xml:space="preserve">Safety (1-5)</t>
  </si>
  <si>
    <t xml:space="preserve">Overall Score</t>
  </si>
  <si>
    <t xml:space="preserve">Comments</t>
  </si>
  <si>
    <t xml:space="preserve">Without RAG — Overall Score</t>
  </si>
  <si>
    <t xml:space="preserve">With RAG — Overall Score</t>
  </si>
  <si>
    <t xml:space="preserve">Score Difference</t>
  </si>
  <si>
    <t xml:space="preserve">Retrieved Chunks Relevant? (Y/N)</t>
  </si>
  <si>
    <t xml:space="preserve">Average score WITHOUT RAG:</t>
  </si>
  <si>
    <t xml:space="preserve">Average score WITH RAG:</t>
  </si>
  <si>
    <t xml:space="preserve">Net improvement from RAG:</t>
  </si>
  <si>
    <t xml:space="preserve">Evaluation Summary</t>
  </si>
  <si>
    <t xml:space="preserve">Criterion</t>
  </si>
  <si>
    <t xml:space="preserve">Average Score</t>
  </si>
  <si>
    <t xml:space="preserve">Correctness</t>
  </si>
  <si>
    <t xml:space="preserve">Relevance</t>
  </si>
  <si>
    <t xml:space="preserve">Clarity</t>
  </si>
  <si>
    <t xml:space="preserve">Actionability</t>
  </si>
  <si>
    <t xml:space="preserve">Educational Value</t>
  </si>
  <si>
    <t xml:space="preserve">Consistency</t>
  </si>
  <si>
    <t xml:space="preserve">Safety</t>
  </si>
  <si>
    <t xml:space="preserve">Overall Average (all test cases)</t>
  </si>
  <si>
    <t xml:space="preserve">Test cases scoring below 3.0 (need review):</t>
  </si>
  <si>
    <t xml:space="preserve">Count:</t>
  </si>
  <si>
    <t xml:space="preserve">Tip: re-check the Evaluation Rubric sheet and filter Overall Score &lt; 3.0 to find and fix weak responses before the demo.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</si>
</sst>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B91C1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3</v>
      </c>
    </row>
    <row r="8" customFormat="false" ht="15" hidden="false" customHeight="true" outlineLevel="0" collapsed="false">
      <c r="A8" s="4" t="s">
        <v>4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5" t="s">
        <v>5</v>
      </c>
    </row>
    <row r="11" customFormat="false" ht="15" hidden="false" customHeight="true" outlineLevel="0" collapsed="false">
      <c r="A11" s="4" t="s">
        <v>6</v>
      </c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5" t="s">
        <v>9</v>
      </c>
    </row>
    <row r="16" customFormat="false" ht="15" hidden="false" customHeight="true" outlineLevel="0" collapsed="false">
      <c r="A16" s="4" t="s">
        <v>10</v>
      </c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5" t="s">
        <v>12</v>
      </c>
    </row>
    <row r="20" customFormat="false" ht="15" hidden="false" customHeight="true" outlineLevel="0" collapsed="false">
      <c r="A20" s="4" t="s">
        <v>13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4" t="s">
        <v>14</v>
      </c>
    </row>
    <row r="23" customFormat="false" ht="15" hidden="false" customHeight="true" outlineLevel="0" collapsed="false">
      <c r="A23" s="4" t="s">
        <v>15</v>
      </c>
    </row>
    <row r="24" customFormat="false" ht="15" hidden="false" customHeight="true" outlineLevel="0" collapsed="false">
      <c r="A24" s="4" t="s">
        <v>16</v>
      </c>
    </row>
    <row r="25" customFormat="false" ht="15" hidden="false" customHeight="true" outlineLevel="0" collapsed="false">
      <c r="A25" s="4" t="s">
        <v>17</v>
      </c>
    </row>
    <row r="26" customFormat="false" ht="15" hidden="false" customHeight="true" outlineLevel="0" collapsed="false">
      <c r="A26" s="4" t="s">
        <v>18</v>
      </c>
    </row>
    <row r="27" customFormat="false" ht="15" hidden="false" customHeight="true" outlineLevel="0" collapsed="false">
      <c r="A27" s="4" t="s">
        <v>19</v>
      </c>
    </row>
    <row r="28" customFormat="false" ht="15" hidden="false" customHeight="true" outlineLevel="0" collapsed="false">
      <c r="A28" s="4"/>
    </row>
    <row r="29" customFormat="false" ht="15" hidden="false" customHeight="true" outlineLevel="0" collapsed="false">
      <c r="A29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26"/>
  </cols>
  <sheetData>
    <row r="1" customFormat="false" ht="30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</row>
    <row r="2" customFormat="false" ht="23.25" hidden="false" customHeight="true" outlineLevel="0" collapsed="false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</row>
    <row r="3" customFormat="false" ht="23.25" hidden="false" customHeight="true" outlineLevel="0" collapsed="false">
      <c r="A3" s="7" t="s">
        <v>37</v>
      </c>
      <c r="B3" s="7" t="s">
        <v>38</v>
      </c>
      <c r="C3" s="7" t="s">
        <v>31</v>
      </c>
      <c r="D3" s="7" t="s">
        <v>39</v>
      </c>
      <c r="E3" s="7" t="s">
        <v>40</v>
      </c>
      <c r="F3" s="7" t="s">
        <v>41</v>
      </c>
      <c r="G3" s="7" t="s">
        <v>42</v>
      </c>
      <c r="H3" s="7"/>
    </row>
    <row r="4" customFormat="false" ht="15" hidden="false" customHeight="true" outlineLevel="0" collapsed="false">
      <c r="A4" s="7" t="s">
        <v>43</v>
      </c>
      <c r="B4" s="7" t="s">
        <v>44</v>
      </c>
      <c r="C4" s="7" t="s">
        <v>31</v>
      </c>
      <c r="D4" s="7" t="s">
        <v>45</v>
      </c>
      <c r="E4" s="7" t="s">
        <v>46</v>
      </c>
      <c r="F4" s="7" t="s">
        <v>47</v>
      </c>
      <c r="G4" s="7" t="s">
        <v>48</v>
      </c>
      <c r="H4" s="7"/>
    </row>
    <row r="5" customFormat="false" ht="15" hidden="false" customHeight="true" outlineLevel="0" collapsed="false">
      <c r="A5" s="8" t="s">
        <v>49</v>
      </c>
      <c r="B5" s="8" t="s">
        <v>38</v>
      </c>
      <c r="C5" s="8" t="s">
        <v>31</v>
      </c>
      <c r="D5" s="8" t="s">
        <v>50</v>
      </c>
      <c r="E5" s="8" t="s">
        <v>40</v>
      </c>
      <c r="F5" s="8" t="s">
        <v>51</v>
      </c>
      <c r="G5" s="8" t="s">
        <v>52</v>
      </c>
      <c r="H5" s="8"/>
    </row>
    <row r="6" customFormat="false" ht="15" hidden="false" customHeight="true" outlineLevel="0" collapsed="false">
      <c r="A6" s="8" t="s">
        <v>53</v>
      </c>
      <c r="B6" s="8" t="s">
        <v>38</v>
      </c>
      <c r="C6" s="8" t="s">
        <v>31</v>
      </c>
      <c r="D6" s="8" t="s">
        <v>54</v>
      </c>
      <c r="E6" s="8" t="s">
        <v>55</v>
      </c>
      <c r="F6" s="8" t="s">
        <v>56</v>
      </c>
      <c r="G6" s="8" t="s">
        <v>57</v>
      </c>
      <c r="H6" s="8"/>
    </row>
    <row r="7" customFormat="false" ht="15" hidden="false" customHeight="true" outlineLevel="0" collapsed="false">
      <c r="A7" s="8" t="s">
        <v>58</v>
      </c>
      <c r="B7" s="8" t="s">
        <v>59</v>
      </c>
      <c r="C7" s="8" t="s">
        <v>31</v>
      </c>
      <c r="D7" s="8" t="s">
        <v>60</v>
      </c>
      <c r="E7" s="8" t="s">
        <v>61</v>
      </c>
      <c r="F7" s="8" t="s">
        <v>62</v>
      </c>
      <c r="G7" s="8" t="s">
        <v>63</v>
      </c>
      <c r="H7" s="8"/>
    </row>
    <row r="8" customFormat="false" ht="15" hidden="false" customHeight="true" outlineLevel="0" collapsed="false">
      <c r="A8" s="8" t="s">
        <v>64</v>
      </c>
      <c r="B8" s="8" t="s">
        <v>59</v>
      </c>
      <c r="C8" s="8" t="s">
        <v>31</v>
      </c>
      <c r="D8" s="8" t="s">
        <v>65</v>
      </c>
      <c r="E8" s="8" t="s">
        <v>66</v>
      </c>
      <c r="F8" s="8" t="s">
        <v>67</v>
      </c>
      <c r="G8" s="8" t="s">
        <v>68</v>
      </c>
      <c r="H8" s="8"/>
    </row>
    <row r="9" customFormat="false" ht="15" hidden="false" customHeight="true" outlineLevel="0" collapsed="false">
      <c r="A9" s="8" t="s">
        <v>69</v>
      </c>
      <c r="B9" s="8" t="s">
        <v>70</v>
      </c>
      <c r="C9" s="8" t="s">
        <v>31</v>
      </c>
      <c r="D9" s="8" t="s">
        <v>71</v>
      </c>
      <c r="E9" s="8" t="s">
        <v>72</v>
      </c>
      <c r="F9" s="8" t="s">
        <v>73</v>
      </c>
      <c r="G9" s="8" t="s">
        <v>74</v>
      </c>
      <c r="H9" s="8"/>
    </row>
    <row r="10" customFormat="false" ht="15" hidden="false" customHeight="true" outlineLevel="0" collapsed="false">
      <c r="A10" s="8" t="s">
        <v>75</v>
      </c>
      <c r="B10" s="8" t="s">
        <v>70</v>
      </c>
      <c r="C10" s="8" t="s">
        <v>31</v>
      </c>
      <c r="D10" s="8" t="s">
        <v>76</v>
      </c>
      <c r="E10" s="8" t="s">
        <v>77</v>
      </c>
      <c r="F10" s="8" t="s">
        <v>78</v>
      </c>
      <c r="G10" s="8" t="s">
        <v>79</v>
      </c>
      <c r="H10" s="8"/>
    </row>
    <row r="11" customFormat="false" ht="15" hidden="false" customHeight="true" outlineLevel="0" collapsed="false">
      <c r="A11" s="8" t="s">
        <v>80</v>
      </c>
      <c r="B11" s="8" t="s">
        <v>81</v>
      </c>
      <c r="C11" s="8" t="s">
        <v>31</v>
      </c>
      <c r="D11" s="8" t="s">
        <v>82</v>
      </c>
      <c r="E11" s="8" t="s">
        <v>83</v>
      </c>
      <c r="F11" s="8" t="s">
        <v>84</v>
      </c>
      <c r="G11" s="8" t="s">
        <v>85</v>
      </c>
      <c r="H11" s="8"/>
    </row>
    <row r="12" customFormat="false" ht="15" hidden="false" customHeight="true" outlineLevel="0" collapsed="false">
      <c r="A12" s="8" t="s">
        <v>86</v>
      </c>
      <c r="B12" s="8" t="s">
        <v>81</v>
      </c>
      <c r="C12" s="8" t="s">
        <v>31</v>
      </c>
      <c r="D12" s="8" t="s">
        <v>87</v>
      </c>
      <c r="E12" s="8" t="s">
        <v>88</v>
      </c>
      <c r="F12" s="8" t="s">
        <v>89</v>
      </c>
      <c r="G12" s="8" t="s">
        <v>90</v>
      </c>
      <c r="H12" s="8"/>
    </row>
    <row r="13" customFormat="false" ht="15" hidden="false" customHeight="true" outlineLevel="0" collapsed="false">
      <c r="A13" s="8" t="s">
        <v>91</v>
      </c>
      <c r="B13" s="8" t="s">
        <v>92</v>
      </c>
      <c r="C13" s="8" t="s">
        <v>31</v>
      </c>
      <c r="D13" s="8" t="s">
        <v>93</v>
      </c>
      <c r="E13" s="8" t="s">
        <v>94</v>
      </c>
      <c r="F13" s="8" t="s">
        <v>95</v>
      </c>
      <c r="G13" s="8" t="s">
        <v>96</v>
      </c>
      <c r="H13" s="8"/>
    </row>
    <row r="14" customFormat="false" ht="15" hidden="false" customHeight="true" outlineLevel="0" collapsed="false">
      <c r="A14" s="8" t="s">
        <v>97</v>
      </c>
      <c r="B14" s="8" t="s">
        <v>92</v>
      </c>
      <c r="C14" s="8" t="s">
        <v>31</v>
      </c>
      <c r="D14" s="8" t="s">
        <v>98</v>
      </c>
      <c r="E14" s="8" t="s">
        <v>99</v>
      </c>
      <c r="F14" s="8" t="s">
        <v>100</v>
      </c>
      <c r="G14" s="8" t="s">
        <v>101</v>
      </c>
      <c r="H14" s="8"/>
    </row>
    <row r="15" customFormat="false" ht="15" hidden="false" customHeight="true" outlineLevel="0" collapsed="false">
      <c r="A15" s="8" t="s">
        <v>102</v>
      </c>
      <c r="B15" s="8" t="s">
        <v>103</v>
      </c>
      <c r="C15" s="8" t="s">
        <v>31</v>
      </c>
      <c r="D15" s="8" t="s">
        <v>104</v>
      </c>
      <c r="E15" s="8" t="s">
        <v>105</v>
      </c>
      <c r="F15" s="8" t="s">
        <v>106</v>
      </c>
      <c r="G15" s="8" t="s">
        <v>107</v>
      </c>
      <c r="H15" s="8"/>
    </row>
    <row r="16" customFormat="false" ht="15" hidden="false" customHeight="true" outlineLevel="0" collapsed="false">
      <c r="A16" s="8" t="s">
        <v>108</v>
      </c>
      <c r="B16" s="8" t="s">
        <v>103</v>
      </c>
      <c r="C16" s="8" t="s">
        <v>31</v>
      </c>
      <c r="D16" s="8" t="s">
        <v>109</v>
      </c>
      <c r="E16" s="8" t="s">
        <v>110</v>
      </c>
      <c r="F16" s="8" t="s">
        <v>111</v>
      </c>
      <c r="G16" s="8" t="s">
        <v>112</v>
      </c>
      <c r="H16" s="8"/>
    </row>
    <row r="17" customFormat="false" ht="15" hidden="false" customHeight="true" outlineLevel="0" collapsed="false">
      <c r="A17" s="8" t="s">
        <v>113</v>
      </c>
      <c r="B17" s="8" t="s">
        <v>114</v>
      </c>
      <c r="C17" s="8" t="s">
        <v>31</v>
      </c>
      <c r="D17" s="8" t="s">
        <v>115</v>
      </c>
      <c r="E17" s="8" t="s">
        <v>116</v>
      </c>
      <c r="F17" s="8" t="s">
        <v>117</v>
      </c>
      <c r="G17" s="8" t="s">
        <v>118</v>
      </c>
      <c r="H17" s="8"/>
    </row>
    <row r="18" customFormat="false" ht="15" hidden="false" customHeight="true" outlineLevel="0" collapsed="false">
      <c r="A18" s="8" t="s">
        <v>119</v>
      </c>
      <c r="B18" s="8" t="s">
        <v>114</v>
      </c>
      <c r="C18" s="8" t="s">
        <v>31</v>
      </c>
      <c r="D18" s="8" t="s">
        <v>120</v>
      </c>
      <c r="E18" s="8" t="s">
        <v>116</v>
      </c>
      <c r="F18" s="8" t="s">
        <v>121</v>
      </c>
      <c r="G18" s="8" t="s">
        <v>122</v>
      </c>
      <c r="H18" s="8"/>
    </row>
    <row r="19" customFormat="false" ht="15" hidden="false" customHeight="true" outlineLevel="0" collapsed="false">
      <c r="A19" s="8" t="s">
        <v>123</v>
      </c>
      <c r="B19" s="8" t="s">
        <v>124</v>
      </c>
      <c r="C19" s="8" t="s">
        <v>31</v>
      </c>
      <c r="D19" s="8" t="s">
        <v>125</v>
      </c>
      <c r="E19" s="8" t="s">
        <v>126</v>
      </c>
      <c r="F19" s="8" t="s">
        <v>127</v>
      </c>
      <c r="G19" s="8" t="s">
        <v>128</v>
      </c>
      <c r="H19" s="8"/>
    </row>
    <row r="20" customFormat="false" ht="15" hidden="false" customHeight="true" outlineLevel="0" collapsed="false">
      <c r="A20" s="8" t="s">
        <v>129</v>
      </c>
      <c r="B20" s="8" t="s">
        <v>124</v>
      </c>
      <c r="C20" s="8" t="s">
        <v>31</v>
      </c>
      <c r="D20" s="8" t="s">
        <v>130</v>
      </c>
      <c r="E20" s="8" t="s">
        <v>131</v>
      </c>
      <c r="F20" s="8" t="s">
        <v>132</v>
      </c>
      <c r="G20" s="8" t="s">
        <v>133</v>
      </c>
      <c r="H20" s="8"/>
    </row>
    <row r="21" customFormat="false" ht="15" hidden="false" customHeight="true" outlineLevel="0" collapsed="false">
      <c r="A21" s="8" t="s">
        <v>134</v>
      </c>
      <c r="B21" s="8" t="s">
        <v>135</v>
      </c>
      <c r="C21" s="8" t="s">
        <v>31</v>
      </c>
      <c r="D21" s="8" t="s">
        <v>136</v>
      </c>
      <c r="E21" s="8" t="s">
        <v>137</v>
      </c>
      <c r="F21" s="8" t="s">
        <v>138</v>
      </c>
      <c r="G21" s="8" t="s">
        <v>139</v>
      </c>
      <c r="H21" s="8"/>
    </row>
    <row r="22" customFormat="false" ht="15" hidden="false" customHeight="true" outlineLevel="0" collapsed="false">
      <c r="A22" s="8" t="s">
        <v>140</v>
      </c>
      <c r="B22" s="8" t="s">
        <v>135</v>
      </c>
      <c r="C22" s="8" t="s">
        <v>31</v>
      </c>
      <c r="D22" s="8" t="s">
        <v>141</v>
      </c>
      <c r="E22" s="8" t="s">
        <v>142</v>
      </c>
      <c r="F22" s="8" t="s">
        <v>143</v>
      </c>
      <c r="G22" s="8" t="s">
        <v>144</v>
      </c>
      <c r="H22" s="8"/>
    </row>
    <row r="23" customFormat="false" ht="15" hidden="false" customHeight="true" outlineLevel="0" collapsed="false">
      <c r="A23" s="8" t="s">
        <v>145</v>
      </c>
      <c r="B23" s="8" t="s">
        <v>146</v>
      </c>
      <c r="C23" s="8" t="s">
        <v>31</v>
      </c>
      <c r="D23" s="8" t="s">
        <v>147</v>
      </c>
      <c r="E23" s="8" t="s">
        <v>148</v>
      </c>
      <c r="F23" s="8" t="s">
        <v>149</v>
      </c>
      <c r="G23" s="8" t="s">
        <v>150</v>
      </c>
      <c r="H23" s="8"/>
    </row>
    <row r="24" customFormat="false" ht="15" hidden="false" customHeight="true" outlineLevel="0" collapsed="false">
      <c r="A24" s="8" t="s">
        <v>151</v>
      </c>
      <c r="B24" s="8" t="s">
        <v>146</v>
      </c>
      <c r="C24" s="8" t="s">
        <v>31</v>
      </c>
      <c r="D24" s="8" t="s">
        <v>152</v>
      </c>
      <c r="E24" s="8" t="s">
        <v>148</v>
      </c>
      <c r="F24" s="8" t="s">
        <v>153</v>
      </c>
      <c r="G24" s="8" t="s">
        <v>154</v>
      </c>
      <c r="H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34"/>
  </cols>
  <sheetData>
    <row r="1" customFormat="false" ht="33.75" hidden="false" customHeight="true" outlineLevel="0" collapsed="false">
      <c r="A1" s="6" t="s">
        <v>21</v>
      </c>
      <c r="B1" s="6" t="s">
        <v>155</v>
      </c>
      <c r="C1" s="6" t="s">
        <v>156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165</v>
      </c>
    </row>
    <row r="2" customFormat="false" ht="15" hidden="false" customHeight="true" outlineLevel="0" collapsed="false">
      <c r="A2" s="7"/>
      <c r="B2" s="7"/>
      <c r="C2" s="7"/>
      <c r="D2" s="9"/>
      <c r="E2" s="9"/>
      <c r="F2" s="9"/>
      <c r="G2" s="9"/>
      <c r="H2" s="9"/>
      <c r="I2" s="9"/>
      <c r="J2" s="9"/>
      <c r="K2" s="10" t="str">
        <f aca="false">IFERROR(AVERAGE(D2:J2),"")</f>
        <v/>
      </c>
      <c r="L2" s="7"/>
    </row>
    <row r="3" customFormat="false" ht="15" hidden="false" customHeight="true" outlineLevel="0" collapsed="false">
      <c r="A3" s="7"/>
      <c r="B3" s="7"/>
      <c r="C3" s="7"/>
      <c r="D3" s="9"/>
      <c r="E3" s="9"/>
      <c r="F3" s="9"/>
      <c r="G3" s="9"/>
      <c r="H3" s="9"/>
      <c r="I3" s="9"/>
      <c r="J3" s="9"/>
      <c r="K3" s="10" t="str">
        <f aca="false">IFERROR(AVERAGE(D3:J3),"")</f>
        <v/>
      </c>
      <c r="L3" s="7"/>
    </row>
    <row r="4" customFormat="false" ht="15" hidden="false" customHeight="true" outlineLevel="0" collapsed="false">
      <c r="A4" s="7"/>
      <c r="B4" s="7"/>
      <c r="C4" s="7"/>
      <c r="D4" s="9"/>
      <c r="E4" s="9"/>
      <c r="F4" s="9"/>
      <c r="G4" s="9"/>
      <c r="H4" s="9"/>
      <c r="I4" s="9"/>
      <c r="J4" s="9"/>
      <c r="K4" s="10" t="str">
        <f aca="false">IFERROR(AVERAGE(D4:J4),"")</f>
        <v/>
      </c>
      <c r="L4" s="7"/>
    </row>
    <row r="5" customFormat="false" ht="15" hidden="false" customHeight="true" outlineLevel="0" collapsed="false">
      <c r="A5" s="7"/>
      <c r="B5" s="7"/>
      <c r="C5" s="7"/>
      <c r="D5" s="9"/>
      <c r="E5" s="9"/>
      <c r="F5" s="9"/>
      <c r="G5" s="9"/>
      <c r="H5" s="9"/>
      <c r="I5" s="9"/>
      <c r="J5" s="9"/>
      <c r="K5" s="10" t="str">
        <f aca="false">IFERROR(AVERAGE(D5:J5),"")</f>
        <v/>
      </c>
      <c r="L5" s="7"/>
    </row>
    <row r="6" customFormat="false" ht="15" hidden="false" customHeight="true" outlineLevel="0" collapsed="false">
      <c r="A6" s="7"/>
      <c r="B6" s="7"/>
      <c r="C6" s="7"/>
      <c r="D6" s="9"/>
      <c r="E6" s="9"/>
      <c r="F6" s="9"/>
      <c r="G6" s="9"/>
      <c r="H6" s="9"/>
      <c r="I6" s="9"/>
      <c r="J6" s="9"/>
      <c r="K6" s="10" t="str">
        <f aca="false">IFERROR(AVERAGE(D6:J6),"")</f>
        <v/>
      </c>
      <c r="L6" s="7"/>
    </row>
    <row r="7" customFormat="false" ht="15" hidden="false" customHeight="true" outlineLevel="0" collapsed="false">
      <c r="A7" s="7"/>
      <c r="B7" s="7"/>
      <c r="C7" s="7"/>
      <c r="D7" s="9"/>
      <c r="E7" s="9"/>
      <c r="F7" s="9"/>
      <c r="G7" s="9"/>
      <c r="H7" s="9"/>
      <c r="I7" s="9"/>
      <c r="J7" s="9"/>
      <c r="K7" s="10" t="str">
        <f aca="false">IFERROR(AVERAGE(D7:J7),"")</f>
        <v/>
      </c>
      <c r="L7" s="7"/>
    </row>
    <row r="8" customFormat="false" ht="15" hidden="false" customHeight="true" outlineLevel="0" collapsed="false">
      <c r="A8" s="7"/>
      <c r="B8" s="7"/>
      <c r="C8" s="7"/>
      <c r="D8" s="9"/>
      <c r="E8" s="9"/>
      <c r="F8" s="9"/>
      <c r="G8" s="9"/>
      <c r="H8" s="9"/>
      <c r="I8" s="9"/>
      <c r="J8" s="9"/>
      <c r="K8" s="10" t="str">
        <f aca="false">IFERROR(AVERAGE(D8:J8),"")</f>
        <v/>
      </c>
      <c r="L8" s="7"/>
    </row>
    <row r="9" customFormat="false" ht="15" hidden="false" customHeight="true" outlineLevel="0" collapsed="false">
      <c r="A9" s="7"/>
      <c r="B9" s="7"/>
      <c r="C9" s="7"/>
      <c r="D9" s="9"/>
      <c r="E9" s="9"/>
      <c r="F9" s="9"/>
      <c r="G9" s="9"/>
      <c r="H9" s="9"/>
      <c r="I9" s="9"/>
      <c r="J9" s="9"/>
      <c r="K9" s="10" t="str">
        <f aca="false">IFERROR(AVERAGE(D9:J9),"")</f>
        <v/>
      </c>
      <c r="L9" s="7"/>
    </row>
    <row r="10" customFormat="false" ht="15" hidden="false" customHeight="true" outlineLevel="0" collapsed="false">
      <c r="A10" s="7"/>
      <c r="B10" s="7"/>
      <c r="C10" s="7"/>
      <c r="D10" s="9"/>
      <c r="E10" s="9"/>
      <c r="F10" s="9"/>
      <c r="G10" s="9"/>
      <c r="H10" s="9"/>
      <c r="I10" s="9"/>
      <c r="J10" s="9"/>
      <c r="K10" s="10" t="str">
        <f aca="false">IFERROR(AVERAGE(D10:J10),"")</f>
        <v/>
      </c>
      <c r="L10" s="7"/>
    </row>
    <row r="11" customFormat="false" ht="15" hidden="false" customHeight="true" outlineLevel="0" collapsed="false">
      <c r="A11" s="7"/>
      <c r="B11" s="7"/>
      <c r="C11" s="7"/>
      <c r="D11" s="9"/>
      <c r="E11" s="9"/>
      <c r="F11" s="9"/>
      <c r="G11" s="9"/>
      <c r="H11" s="9"/>
      <c r="I11" s="9"/>
      <c r="J11" s="9"/>
      <c r="K11" s="10" t="str">
        <f aca="false">IFERROR(AVERAGE(D11:J11),"")</f>
        <v/>
      </c>
      <c r="L11" s="7"/>
    </row>
    <row r="12" customFormat="false" ht="15" hidden="false" customHeight="true" outlineLevel="0" collapsed="false">
      <c r="A12" s="7"/>
      <c r="B12" s="7"/>
      <c r="C12" s="7"/>
      <c r="D12" s="9"/>
      <c r="E12" s="9"/>
      <c r="F12" s="9"/>
      <c r="G12" s="9"/>
      <c r="H12" s="9"/>
      <c r="I12" s="9"/>
      <c r="J12" s="9"/>
      <c r="K12" s="10" t="str">
        <f aca="false">IFERROR(AVERAGE(D12:J12),"")</f>
        <v/>
      </c>
      <c r="L12" s="7"/>
    </row>
    <row r="13" customFormat="false" ht="15" hidden="false" customHeight="true" outlineLevel="0" collapsed="false">
      <c r="A13" s="7"/>
      <c r="B13" s="7"/>
      <c r="C13" s="7"/>
      <c r="D13" s="9"/>
      <c r="E13" s="9"/>
      <c r="F13" s="9"/>
      <c r="G13" s="9"/>
      <c r="H13" s="9"/>
      <c r="I13" s="9"/>
      <c r="J13" s="9"/>
      <c r="K13" s="10" t="str">
        <f aca="false">IFERROR(AVERAGE(D13:J13),"")</f>
        <v/>
      </c>
      <c r="L13" s="7"/>
    </row>
    <row r="14" customFormat="false" ht="15" hidden="false" customHeight="true" outlineLevel="0" collapsed="false">
      <c r="A14" s="7"/>
      <c r="B14" s="7"/>
      <c r="C14" s="7"/>
      <c r="D14" s="9"/>
      <c r="E14" s="9"/>
      <c r="F14" s="9"/>
      <c r="G14" s="9"/>
      <c r="H14" s="9"/>
      <c r="I14" s="9"/>
      <c r="J14" s="9"/>
      <c r="K14" s="10" t="str">
        <f aca="false">IFERROR(AVERAGE(D14:J14),"")</f>
        <v/>
      </c>
      <c r="L14" s="7"/>
    </row>
    <row r="15" customFormat="false" ht="15" hidden="false" customHeight="true" outlineLevel="0" collapsed="false">
      <c r="A15" s="7"/>
      <c r="B15" s="7"/>
      <c r="C15" s="7"/>
      <c r="D15" s="9"/>
      <c r="E15" s="9"/>
      <c r="F15" s="9"/>
      <c r="G15" s="9"/>
      <c r="H15" s="9"/>
      <c r="I15" s="9"/>
      <c r="J15" s="9"/>
      <c r="K15" s="10" t="str">
        <f aca="false">IFERROR(AVERAGE(D15:J15),"")</f>
        <v/>
      </c>
      <c r="L15" s="7"/>
    </row>
    <row r="16" customFormat="false" ht="15" hidden="false" customHeight="true" outlineLevel="0" collapsed="false">
      <c r="A16" s="7"/>
      <c r="B16" s="7"/>
      <c r="C16" s="7"/>
      <c r="D16" s="9"/>
      <c r="E16" s="9"/>
      <c r="F16" s="9"/>
      <c r="G16" s="9"/>
      <c r="H16" s="9"/>
      <c r="I16" s="9"/>
      <c r="J16" s="9"/>
      <c r="K16" s="10" t="str">
        <f aca="false">IFERROR(AVERAGE(D16:J16),"")</f>
        <v/>
      </c>
      <c r="L16" s="7"/>
    </row>
    <row r="17" customFormat="false" ht="15" hidden="false" customHeight="true" outlineLevel="0" collapsed="false">
      <c r="A17" s="7"/>
      <c r="B17" s="7"/>
      <c r="C17" s="7"/>
      <c r="D17" s="9"/>
      <c r="E17" s="9"/>
      <c r="F17" s="9"/>
      <c r="G17" s="9"/>
      <c r="H17" s="9"/>
      <c r="I17" s="9"/>
      <c r="J17" s="9"/>
      <c r="K17" s="10" t="str">
        <f aca="false">IFERROR(AVERAGE(D17:J17),"")</f>
        <v/>
      </c>
      <c r="L17" s="7"/>
    </row>
    <row r="18" customFormat="false" ht="15" hidden="false" customHeight="true" outlineLevel="0" collapsed="false">
      <c r="A18" s="7"/>
      <c r="B18" s="7"/>
      <c r="C18" s="7"/>
      <c r="D18" s="9"/>
      <c r="E18" s="9"/>
      <c r="F18" s="9"/>
      <c r="G18" s="9"/>
      <c r="H18" s="9"/>
      <c r="I18" s="9"/>
      <c r="J18" s="9"/>
      <c r="K18" s="10" t="str">
        <f aca="false">IFERROR(AVERAGE(D18:J18),"")</f>
        <v/>
      </c>
      <c r="L18" s="7"/>
    </row>
    <row r="19" customFormat="false" ht="15" hidden="false" customHeight="true" outlineLevel="0" collapsed="false">
      <c r="A19" s="7"/>
      <c r="B19" s="7"/>
      <c r="C19" s="7"/>
      <c r="D19" s="9"/>
      <c r="E19" s="9"/>
      <c r="F19" s="9"/>
      <c r="G19" s="9"/>
      <c r="H19" s="9"/>
      <c r="I19" s="9"/>
      <c r="J19" s="9"/>
      <c r="K19" s="10" t="str">
        <f aca="false">IFERROR(AVERAGE(D19:J19),"")</f>
        <v/>
      </c>
      <c r="L19" s="7"/>
    </row>
    <row r="20" customFormat="false" ht="15" hidden="false" customHeight="true" outlineLevel="0" collapsed="false">
      <c r="A20" s="7"/>
      <c r="B20" s="7"/>
      <c r="C20" s="7"/>
      <c r="D20" s="9"/>
      <c r="E20" s="9"/>
      <c r="F20" s="9"/>
      <c r="G20" s="9"/>
      <c r="H20" s="9"/>
      <c r="I20" s="9"/>
      <c r="J20" s="9"/>
      <c r="K20" s="10" t="str">
        <f aca="false">IFERROR(AVERAGE(D20:J20),"")</f>
        <v/>
      </c>
      <c r="L20" s="7"/>
    </row>
    <row r="21" customFormat="false" ht="15" hidden="false" customHeight="true" outlineLevel="0" collapsed="false">
      <c r="A21" s="7"/>
      <c r="B21" s="7"/>
      <c r="C21" s="7"/>
      <c r="D21" s="9"/>
      <c r="E21" s="9"/>
      <c r="F21" s="9"/>
      <c r="G21" s="9"/>
      <c r="H21" s="9"/>
      <c r="I21" s="9"/>
      <c r="J21" s="9"/>
      <c r="K21" s="10" t="str">
        <f aca="false">IFERROR(AVERAGE(D21:J21),"")</f>
        <v/>
      </c>
      <c r="L21" s="7"/>
    </row>
    <row r="22" customFormat="false" ht="15" hidden="false" customHeight="true" outlineLevel="0" collapsed="false">
      <c r="A22" s="7"/>
      <c r="B22" s="7"/>
      <c r="C22" s="7"/>
      <c r="D22" s="9"/>
      <c r="E22" s="9"/>
      <c r="F22" s="9"/>
      <c r="G22" s="9"/>
      <c r="H22" s="9"/>
      <c r="I22" s="9"/>
      <c r="J22" s="9"/>
      <c r="K22" s="10" t="str">
        <f aca="false">IFERROR(AVERAGE(D22:J22),"")</f>
        <v/>
      </c>
      <c r="L22" s="7"/>
    </row>
    <row r="23" customFormat="false" ht="15" hidden="false" customHeight="true" outlineLevel="0" collapsed="false">
      <c r="A23" s="7"/>
      <c r="B23" s="7"/>
      <c r="C23" s="7"/>
      <c r="D23" s="9"/>
      <c r="E23" s="9"/>
      <c r="F23" s="9"/>
      <c r="G23" s="9"/>
      <c r="H23" s="9"/>
      <c r="I23" s="9"/>
      <c r="J23" s="9"/>
      <c r="K23" s="10" t="str">
        <f aca="false">IFERROR(AVERAGE(D23:J23),"")</f>
        <v/>
      </c>
      <c r="L23" s="7"/>
    </row>
    <row r="24" customFormat="false" ht="15" hidden="false" customHeight="true" outlineLevel="0" collapsed="false">
      <c r="A24" s="7"/>
      <c r="B24" s="7"/>
      <c r="C24" s="7"/>
      <c r="D24" s="9"/>
      <c r="E24" s="9"/>
      <c r="F24" s="9"/>
      <c r="G24" s="9"/>
      <c r="H24" s="9"/>
      <c r="I24" s="9"/>
      <c r="J24" s="9"/>
      <c r="K24" s="10" t="str">
        <f aca="false">IFERROR(AVERAGE(D24:J24),"")</f>
        <v/>
      </c>
      <c r="L24" s="7"/>
    </row>
    <row r="25" customFormat="false" ht="15" hidden="false" customHeight="true" outlineLevel="0" collapsed="false">
      <c r="A25" s="7"/>
      <c r="B25" s="7"/>
      <c r="C25" s="7"/>
      <c r="D25" s="9"/>
      <c r="E25" s="9"/>
      <c r="F25" s="9"/>
      <c r="G25" s="9"/>
      <c r="H25" s="9"/>
      <c r="I25" s="9"/>
      <c r="J25" s="9"/>
      <c r="K25" s="10" t="str">
        <f aca="false">IFERROR(AVERAGE(D25:J25),"")</f>
        <v/>
      </c>
      <c r="L25" s="7"/>
    </row>
    <row r="26" customFormat="false" ht="15" hidden="false" customHeight="true" outlineLevel="0" collapsed="false">
      <c r="A26" s="7"/>
      <c r="B26" s="7"/>
      <c r="C26" s="7"/>
      <c r="D26" s="9"/>
      <c r="E26" s="9"/>
      <c r="F26" s="9"/>
      <c r="G26" s="9"/>
      <c r="H26" s="9"/>
      <c r="I26" s="9"/>
      <c r="J26" s="9"/>
      <c r="K26" s="10" t="str">
        <f aca="false">IFERROR(AVERAGE(D26:J26),"")</f>
        <v/>
      </c>
      <c r="L26" s="7"/>
    </row>
    <row r="27" customFormat="false" ht="15" hidden="false" customHeight="true" outlineLevel="0" collapsed="false">
      <c r="A27" s="7"/>
      <c r="B27" s="7"/>
      <c r="C27" s="7"/>
      <c r="D27" s="9"/>
      <c r="E27" s="9"/>
      <c r="F27" s="9"/>
      <c r="G27" s="9"/>
      <c r="H27" s="9"/>
      <c r="I27" s="9"/>
      <c r="J27" s="9"/>
      <c r="K27" s="10" t="str">
        <f aca="false">IFERROR(AVERAGE(D27:J27),"")</f>
        <v/>
      </c>
      <c r="L27" s="7"/>
    </row>
    <row r="28" customFormat="false" ht="15" hidden="false" customHeight="true" outlineLevel="0" collapsed="false">
      <c r="A28" s="7"/>
      <c r="B28" s="7"/>
      <c r="C28" s="7"/>
      <c r="D28" s="9"/>
      <c r="E28" s="9"/>
      <c r="F28" s="9"/>
      <c r="G28" s="9"/>
      <c r="H28" s="9"/>
      <c r="I28" s="9"/>
      <c r="J28" s="9"/>
      <c r="K28" s="10" t="str">
        <f aca="false">IFERROR(AVERAGE(D28:J28),"")</f>
        <v/>
      </c>
      <c r="L28" s="7"/>
    </row>
    <row r="29" customFormat="false" ht="15" hidden="false" customHeight="true" outlineLevel="0" collapsed="false">
      <c r="A29" s="7"/>
      <c r="B29" s="7"/>
      <c r="C29" s="7"/>
      <c r="D29" s="9"/>
      <c r="E29" s="9"/>
      <c r="F29" s="9"/>
      <c r="G29" s="9"/>
      <c r="H29" s="9"/>
      <c r="I29" s="9"/>
      <c r="J29" s="9"/>
      <c r="K29" s="10" t="str">
        <f aca="false">IFERROR(AVERAGE(D29:J29),"")</f>
        <v/>
      </c>
      <c r="L29" s="7"/>
    </row>
    <row r="30" customFormat="false" ht="15" hidden="false" customHeight="true" outlineLevel="0" collapsed="false">
      <c r="A30" s="7"/>
      <c r="B30" s="7"/>
      <c r="C30" s="7"/>
      <c r="D30" s="9"/>
      <c r="E30" s="9"/>
      <c r="F30" s="9"/>
      <c r="G30" s="9"/>
      <c r="H30" s="9"/>
      <c r="I30" s="9"/>
      <c r="J30" s="9"/>
      <c r="K30" s="10" t="str">
        <f aca="false">IFERROR(AVERAGE(D30:J30),"")</f>
        <v/>
      </c>
      <c r="L30" s="7"/>
    </row>
    <row r="31" customFormat="false" ht="15" hidden="false" customHeight="true" outlineLevel="0" collapsed="false">
      <c r="A31" s="7"/>
      <c r="B31" s="7"/>
      <c r="C31" s="7"/>
      <c r="D31" s="9"/>
      <c r="E31" s="9"/>
      <c r="F31" s="9"/>
      <c r="G31" s="9"/>
      <c r="H31" s="9"/>
      <c r="I31" s="9"/>
      <c r="J31" s="9"/>
      <c r="K31" s="10" t="str">
        <f aca="false">IFERROR(AVERAGE(D31:J31),"")</f>
        <v/>
      </c>
      <c r="L31" s="7"/>
    </row>
  </sheetData>
  <dataValidations count="1">
    <dataValidation allowBlank="false" error="Enter a whole number from 1 to 5." errorStyle="stop" errorTitle="Invalid score" operator="between" showDropDown="false" showErrorMessage="true" showInputMessage="false" sqref="D2:J3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34"/>
  </cols>
  <sheetData>
    <row r="1" customFormat="false" ht="30" hidden="false" customHeight="true" outlineLevel="0" collapsed="false">
      <c r="A1" s="6" t="s">
        <v>21</v>
      </c>
      <c r="B1" s="6" t="s">
        <v>166</v>
      </c>
      <c r="C1" s="6" t="s">
        <v>167</v>
      </c>
      <c r="D1" s="6" t="s">
        <v>168</v>
      </c>
      <c r="E1" s="6" t="s">
        <v>169</v>
      </c>
      <c r="F1" s="6" t="s">
        <v>28</v>
      </c>
    </row>
    <row r="2" customFormat="false" ht="15" hidden="false" customHeight="true" outlineLevel="0" collapsed="false">
      <c r="A2" s="7"/>
      <c r="B2" s="9"/>
      <c r="C2" s="9"/>
      <c r="D2" s="11" t="n">
        <f aca="false">IFERROR(C2-B2,"")</f>
        <v>0</v>
      </c>
      <c r="E2" s="9"/>
      <c r="F2" s="7"/>
    </row>
    <row r="3" customFormat="false" ht="15" hidden="false" customHeight="true" outlineLevel="0" collapsed="false">
      <c r="A3" s="7"/>
      <c r="B3" s="9"/>
      <c r="C3" s="9"/>
      <c r="D3" s="11" t="n">
        <f aca="false">IFERROR(C3-B3,"")</f>
        <v>0</v>
      </c>
      <c r="E3" s="9"/>
      <c r="F3" s="7"/>
    </row>
    <row r="4" customFormat="false" ht="15" hidden="false" customHeight="true" outlineLevel="0" collapsed="false">
      <c r="A4" s="7"/>
      <c r="B4" s="9"/>
      <c r="C4" s="9"/>
      <c r="D4" s="11" t="n">
        <f aca="false">IFERROR(C4-B4,"")</f>
        <v>0</v>
      </c>
      <c r="E4" s="9"/>
      <c r="F4" s="7"/>
    </row>
    <row r="5" customFormat="false" ht="15" hidden="false" customHeight="true" outlineLevel="0" collapsed="false">
      <c r="A5" s="7"/>
      <c r="B5" s="9"/>
      <c r="C5" s="9"/>
      <c r="D5" s="11" t="n">
        <f aca="false">IFERROR(C5-B5,"")</f>
        <v>0</v>
      </c>
      <c r="E5" s="9"/>
      <c r="F5" s="7"/>
    </row>
    <row r="6" customFormat="false" ht="15" hidden="false" customHeight="true" outlineLevel="0" collapsed="false">
      <c r="A6" s="7"/>
      <c r="B6" s="9"/>
      <c r="C6" s="9"/>
      <c r="D6" s="11" t="n">
        <f aca="false">IFERROR(C6-B6,"")</f>
        <v>0</v>
      </c>
      <c r="E6" s="9"/>
      <c r="F6" s="7"/>
    </row>
    <row r="7" customFormat="false" ht="15" hidden="false" customHeight="true" outlineLevel="0" collapsed="false">
      <c r="A7" s="7"/>
      <c r="B7" s="9"/>
      <c r="C7" s="9"/>
      <c r="D7" s="11" t="n">
        <f aca="false">IFERROR(C7-B7,"")</f>
        <v>0</v>
      </c>
      <c r="E7" s="9"/>
      <c r="F7" s="7"/>
    </row>
    <row r="8" customFormat="false" ht="15" hidden="false" customHeight="true" outlineLevel="0" collapsed="false">
      <c r="A8" s="7"/>
      <c r="B8" s="9"/>
      <c r="C8" s="9"/>
      <c r="D8" s="11" t="n">
        <f aca="false">IFERROR(C8-B8,"")</f>
        <v>0</v>
      </c>
      <c r="E8" s="9"/>
      <c r="F8" s="7"/>
    </row>
    <row r="9" customFormat="false" ht="15" hidden="false" customHeight="true" outlineLevel="0" collapsed="false">
      <c r="A9" s="7"/>
      <c r="B9" s="9"/>
      <c r="C9" s="9"/>
      <c r="D9" s="11" t="n">
        <f aca="false">IFERROR(C9-B9,"")</f>
        <v>0</v>
      </c>
      <c r="E9" s="9"/>
      <c r="F9" s="7"/>
    </row>
    <row r="10" customFormat="false" ht="15" hidden="false" customHeight="true" outlineLevel="0" collapsed="false">
      <c r="A10" s="7"/>
      <c r="B10" s="9"/>
      <c r="C10" s="9"/>
      <c r="D10" s="11" t="n">
        <f aca="false">IFERROR(C10-B10,"")</f>
        <v>0</v>
      </c>
      <c r="E10" s="9"/>
      <c r="F10" s="7"/>
    </row>
    <row r="11" customFormat="false" ht="15" hidden="false" customHeight="true" outlineLevel="0" collapsed="false">
      <c r="A11" s="7"/>
      <c r="B11" s="9"/>
      <c r="C11" s="9"/>
      <c r="D11" s="11" t="n">
        <f aca="false">IFERROR(C11-B11,"")</f>
        <v>0</v>
      </c>
      <c r="E11" s="9"/>
      <c r="F11" s="7"/>
    </row>
    <row r="12" customFormat="false" ht="15" hidden="false" customHeight="true" outlineLevel="0" collapsed="false">
      <c r="A12" s="7"/>
      <c r="B12" s="9"/>
      <c r="C12" s="9"/>
      <c r="D12" s="11" t="n">
        <f aca="false">IFERROR(C12-B12,"")</f>
        <v>0</v>
      </c>
      <c r="E12" s="9"/>
      <c r="F12" s="7"/>
    </row>
    <row r="13" customFormat="false" ht="15" hidden="false" customHeight="true" outlineLevel="0" collapsed="false">
      <c r="A13" s="7"/>
      <c r="B13" s="9"/>
      <c r="C13" s="9"/>
      <c r="D13" s="11" t="n">
        <f aca="false">IFERROR(C13-B13,"")</f>
        <v>0</v>
      </c>
      <c r="E13" s="9"/>
      <c r="F13" s="7"/>
    </row>
    <row r="14" customFormat="false" ht="15" hidden="false" customHeight="true" outlineLevel="0" collapsed="false">
      <c r="A14" s="7"/>
      <c r="B14" s="9"/>
      <c r="C14" s="9"/>
      <c r="D14" s="11" t="n">
        <f aca="false">IFERROR(C14-B14,"")</f>
        <v>0</v>
      </c>
      <c r="E14" s="9"/>
      <c r="F14" s="7"/>
    </row>
    <row r="15" customFormat="false" ht="15" hidden="false" customHeight="true" outlineLevel="0" collapsed="false">
      <c r="A15" s="7"/>
      <c r="B15" s="9"/>
      <c r="C15" s="9"/>
      <c r="D15" s="11" t="n">
        <f aca="false">IFERROR(C15-B15,"")</f>
        <v>0</v>
      </c>
      <c r="E15" s="9"/>
      <c r="F15" s="7"/>
    </row>
    <row r="16" customFormat="false" ht="15" hidden="false" customHeight="true" outlineLevel="0" collapsed="false">
      <c r="A16" s="7"/>
      <c r="B16" s="9"/>
      <c r="C16" s="9"/>
      <c r="D16" s="11" t="n">
        <f aca="false">IFERROR(C16-B16,"")</f>
        <v>0</v>
      </c>
      <c r="E16" s="9"/>
      <c r="F16" s="7"/>
    </row>
    <row r="17" customFormat="false" ht="15" hidden="false" customHeight="true" outlineLevel="0" collapsed="false">
      <c r="A17" s="7"/>
      <c r="B17" s="9"/>
      <c r="C17" s="9"/>
      <c r="D17" s="11" t="n">
        <f aca="false">IFERROR(C17-B17,"")</f>
        <v>0</v>
      </c>
      <c r="E17" s="9"/>
      <c r="F17" s="7"/>
    </row>
    <row r="18" customFormat="false" ht="15" hidden="false" customHeight="true" outlineLevel="0" collapsed="false">
      <c r="A18" s="7"/>
      <c r="B18" s="9"/>
      <c r="C18" s="9"/>
      <c r="D18" s="11" t="n">
        <f aca="false">IFERROR(C18-B18,"")</f>
        <v>0</v>
      </c>
      <c r="E18" s="9"/>
      <c r="F18" s="7"/>
    </row>
    <row r="19" customFormat="false" ht="15" hidden="false" customHeight="true" outlineLevel="0" collapsed="false">
      <c r="A19" s="7"/>
      <c r="B19" s="9"/>
      <c r="C19" s="9"/>
      <c r="D19" s="11" t="n">
        <f aca="false">IFERROR(C19-B19,"")</f>
        <v>0</v>
      </c>
      <c r="E19" s="9"/>
      <c r="F19" s="7"/>
    </row>
    <row r="20" customFormat="false" ht="15" hidden="false" customHeight="true" outlineLevel="0" collapsed="false">
      <c r="A20" s="7"/>
      <c r="B20" s="9"/>
      <c r="C20" s="9"/>
      <c r="D20" s="11" t="n">
        <f aca="false">IFERROR(C20-B20,"")</f>
        <v>0</v>
      </c>
      <c r="E20" s="9"/>
      <c r="F20" s="7"/>
    </row>
    <row r="21" customFormat="false" ht="15" hidden="false" customHeight="true" outlineLevel="0" collapsed="false">
      <c r="A21" s="7"/>
      <c r="B21" s="9"/>
      <c r="C21" s="9"/>
      <c r="D21" s="11" t="n">
        <f aca="false">IFERROR(C21-B21,"")</f>
        <v>0</v>
      </c>
      <c r="E21" s="9"/>
      <c r="F21" s="7"/>
    </row>
    <row r="24" customFormat="false" ht="15" hidden="false" customHeight="true" outlineLevel="0" collapsed="false">
      <c r="A24" s="12" t="s">
        <v>170</v>
      </c>
      <c r="B24" s="13" t="str">
        <f aca="false">IFERROR(AVERAGE(B2:B21),"")</f>
        <v/>
      </c>
    </row>
    <row r="25" customFormat="false" ht="15" hidden="false" customHeight="true" outlineLevel="0" collapsed="false">
      <c r="A25" s="12" t="s">
        <v>171</v>
      </c>
      <c r="C25" s="13" t="str">
        <f aca="false">IFERROR(AVERAGE(C2:C21),"")</f>
        <v/>
      </c>
    </row>
    <row r="26" customFormat="false" ht="15" hidden="false" customHeight="true" outlineLevel="0" collapsed="false">
      <c r="A26" s="12" t="s">
        <v>172</v>
      </c>
      <c r="D26" s="13" t="str">
        <f aca="false">IFERROR(C25-B24,"")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173</v>
      </c>
    </row>
    <row r="3" customFormat="false" ht="15" hidden="false" customHeight="true" outlineLevel="0" collapsed="false">
      <c r="A3" s="14" t="s">
        <v>174</v>
      </c>
      <c r="B3" s="14" t="s">
        <v>175</v>
      </c>
    </row>
    <row r="4" customFormat="false" ht="15" hidden="false" customHeight="true" outlineLevel="0" collapsed="false">
      <c r="A4" s="15" t="s">
        <v>176</v>
      </c>
      <c r="B4" s="16" t="str">
        <f aca="false">IFERROR(AVERAGE('Evaluation Rubric'!D2:D31),"")</f>
        <v/>
      </c>
    </row>
    <row r="5" customFormat="false" ht="15" hidden="false" customHeight="true" outlineLevel="0" collapsed="false">
      <c r="A5" s="15" t="s">
        <v>177</v>
      </c>
      <c r="B5" s="16" t="str">
        <f aca="false">IFERROR(AVERAGE('Evaluation Rubric'!E2:E31),"")</f>
        <v/>
      </c>
    </row>
    <row r="6" customFormat="false" ht="15" hidden="false" customHeight="true" outlineLevel="0" collapsed="false">
      <c r="A6" s="15" t="s">
        <v>178</v>
      </c>
      <c r="B6" s="16" t="str">
        <f aca="false">IFERROR(AVERAGE('Evaluation Rubric'!F2:F31),"")</f>
        <v/>
      </c>
    </row>
    <row r="7" customFormat="false" ht="15" hidden="false" customHeight="true" outlineLevel="0" collapsed="false">
      <c r="A7" s="15" t="s">
        <v>179</v>
      </c>
      <c r="B7" s="16" t="str">
        <f aca="false">IFERROR(AVERAGE('Evaluation Rubric'!G2:G31),"")</f>
        <v/>
      </c>
    </row>
    <row r="8" customFormat="false" ht="15" hidden="false" customHeight="true" outlineLevel="0" collapsed="false">
      <c r="A8" s="15" t="s">
        <v>180</v>
      </c>
      <c r="B8" s="16" t="str">
        <f aca="false">IFERROR(AVERAGE('Evaluation Rubric'!H2:H31),"")</f>
        <v/>
      </c>
    </row>
    <row r="9" customFormat="false" ht="15" hidden="false" customHeight="true" outlineLevel="0" collapsed="false">
      <c r="A9" s="15" t="s">
        <v>181</v>
      </c>
      <c r="B9" s="16" t="str">
        <f aca="false">IFERROR(AVERAGE('Evaluation Rubric'!I2:I31),"")</f>
        <v/>
      </c>
    </row>
    <row r="10" customFormat="false" ht="15" hidden="false" customHeight="true" outlineLevel="0" collapsed="false">
      <c r="A10" s="15" t="s">
        <v>182</v>
      </c>
      <c r="B10" s="16" t="str">
        <f aca="false">IFERROR(AVERAGE('Evaluation Rubric'!J2:J31),"")</f>
        <v/>
      </c>
    </row>
    <row r="12" customFormat="false" ht="15" hidden="false" customHeight="true" outlineLevel="0" collapsed="false">
      <c r="A12" s="17" t="s">
        <v>183</v>
      </c>
      <c r="B12" s="18" t="str">
        <f aca="false">IFERROR(AVERAGE('Evaluation Rubric'!K2:K31),"")</f>
        <v/>
      </c>
    </row>
    <row r="14" customFormat="false" ht="15" hidden="false" customHeight="true" outlineLevel="0" collapsed="false">
      <c r="A14" s="12" t="s">
        <v>184</v>
      </c>
    </row>
    <row r="15" customFormat="false" ht="15" hidden="false" customHeight="true" outlineLevel="0" collapsed="false">
      <c r="A15" s="19" t="s">
        <v>185</v>
      </c>
      <c r="B15" s="20" t="n">
        <f aca="false">IFERROR(COUNTIF('Evaluation Rubric'!K2:K31,"&lt;3")-COUNTIF('Evaluation Rubric'!K2:K31,""),0)</f>
        <v>-30</v>
      </c>
    </row>
    <row r="18" customFormat="false" ht="23.25" hidden="false" customHeight="true" outlineLevel="0" collapsed="false">
      <c r="A18" s="21" t="s">
        <v>186</v>
      </c>
      <c r="B18" s="21"/>
      <c r="C18" s="21"/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2026-08-15T02:29:32Z</dcterms:created>
  <dc:creator>openpyxl</dc:creator>
  <dc:description/>
  <dc:language>en-US</dc:language>
  <cp:lastModifiedBy/>
  <dcterms:modified xsi:type="dcterms:W3CDTF">2026-08-15T07:45:28Z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